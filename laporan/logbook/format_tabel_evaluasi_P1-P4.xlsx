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SIMUTEH-2330511060\data\logbook\"/>
    </mc:Choice>
  </mc:AlternateContent>
  <xr:revisionPtr revIDLastSave="0" documentId="13_ncr:1_{C529D567-4CAE-43DD-AB6D-85E8A3B33A6A}" xr6:coauthVersionLast="47" xr6:coauthVersionMax="47" xr10:uidLastSave="{00000000-0000-0000-0000-000000000000}"/>
  <bookViews>
    <workbookView xWindow="-110" yWindow="-110" windowWidth="19420" windowHeight="10300" tabRatio="500" firstSheet="10" activeTab="13" xr2:uid="{00000000-000D-0000-FFFF-FFFF00000000}"/>
  </bookViews>
  <sheets>
    <sheet name="Petunjuk" sheetId="1" r:id="rId1"/>
    <sheet name="T6 Risiko" sheetId="2" r:id="rId2"/>
    <sheet name="Akuisisi" sheetId="3" r:id="rId3"/>
    <sheet name="T8 KB Kanal" sheetId="4" r:id="rId4"/>
    <sheet name="2.4 Sampling-Kuantisasi" sheetId="5" r:id="rId5"/>
    <sheet name="T9 Diagnosis" sheetId="6" r:id="rId6"/>
    <sheet name="T10 Perbaikan" sheetId="7" r:id="rId7"/>
    <sheet name="3.4 CLAHE" sheetId="8" r:id="rId8"/>
    <sheet name="T11 Penapis" sheetId="9" r:id="rId9"/>
    <sheet name="4.4 Kernel Median" sheetId="10" r:id="rId10"/>
    <sheet name="4.6 PSNR Normal" sheetId="11" r:id="rId11"/>
    <sheet name="T12 Evaluasi" sheetId="12" r:id="rId12"/>
    <sheet name="5.3 Bercak Palsu" sheetId="13" r:id="rId13"/>
    <sheet name="T13 Justifikasi" sheetId="14" r:id="rId1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13" l="1"/>
  <c r="D9" i="13"/>
  <c r="D8" i="13"/>
  <c r="D7" i="13"/>
  <c r="D6" i="13"/>
  <c r="D5" i="13"/>
  <c r="C12" i="12"/>
  <c r="D12" i="12" s="1"/>
  <c r="B12" i="12"/>
  <c r="D11" i="12"/>
  <c r="D10" i="12"/>
  <c r="D9" i="12"/>
  <c r="D8" i="12"/>
  <c r="D7" i="12"/>
  <c r="D6" i="12"/>
  <c r="C19" i="11"/>
  <c r="B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19" i="11" s="1"/>
  <c r="D6" i="11"/>
  <c r="H20" i="4"/>
  <c r="G20" i="4"/>
  <c r="F20" i="4"/>
  <c r="E20" i="4"/>
  <c r="D20" i="4"/>
  <c r="C20" i="4"/>
  <c r="B20" i="4"/>
  <c r="H11" i="4"/>
  <c r="G11" i="4"/>
  <c r="F11" i="4"/>
  <c r="E11" i="4"/>
  <c r="D11" i="4"/>
  <c r="C11" i="4"/>
  <c r="B11" i="4"/>
</calcChain>
</file>

<file path=xl/sharedStrings.xml><?xml version="1.0" encoding="utf-8"?>
<sst xmlns="http://schemas.openxmlformats.org/spreadsheetml/2006/main" count="284" uniqueCount="239">
  <si>
    <t>Format Tabel Evaluasi Praktikum P1-P4 (SIMUTEH)</t>
  </si>
  <si>
    <t>Disusun dari Petunjuk Praktikum Evaluasi P1-P4 Computer Vision, Teknik Informatika UMMI.</t>
  </si>
  <si>
    <t>Cara pakai</t>
  </si>
  <si>
    <t>1. Isi hanya sel berwarna kuning. Sel biru muda adalah label tetap dari dokumen.</t>
  </si>
  <si>
    <t>2. Baris abu-abu miring berawalan "(contoh)" hanya menunjukkan format isian. Angkanya ilustrasi, bukan hasil sebenarnya. Hapus baris itu sebelum dipakai.</t>
  </si>
  <si>
    <t>3. Sel berwarna putih berisi rumus (Perubahan %, selisih, rerata). Terisi otomatis setelah kolom sumbernya diisi, jangan ditimpa.</t>
  </si>
  <si>
    <t>4. Angka tabel diambil dari keluaran notebook Anda sendiri (SEED = 4 digit terakhir NIM). Tabel 6, 13, dan rencana akuisisi berisi analisis tulisan Anda.</t>
  </si>
  <si>
    <t>Legenda warna</t>
  </si>
  <si>
    <t>Sel isian</t>
  </si>
  <si>
    <t>Label tetap</t>
  </si>
  <si>
    <t>(contoh) ...</t>
  </si>
  <si>
    <t>Daftar sheet</t>
  </si>
  <si>
    <t>Sheet</t>
  </si>
  <si>
    <t>Isi</t>
  </si>
  <si>
    <t>Bagian di dokumen</t>
  </si>
  <si>
    <t>T6 Risiko</t>
  </si>
  <si>
    <t>Tabel 6. Risiko responsible computer vision SIMUTEH</t>
  </si>
  <si>
    <t>Bagian 1, Langkah 7</t>
  </si>
  <si>
    <t>Akuisisi</t>
  </si>
  <si>
    <t>Rencana akuisisi citra</t>
  </si>
  <si>
    <t>Bagian 2, Langkah 2.2</t>
  </si>
  <si>
    <t>T8 KB Kanal</t>
  </si>
  <si>
    <t>Tabel 8. Rerata KB per kanal dan kondisi (kelas berat) + kelas ringan</t>
  </si>
  <si>
    <t>Bagian 2, Langkah 2.5-2.6</t>
  </si>
  <si>
    <t>2.4 Sampling-Kuantisasi</t>
  </si>
  <si>
    <t>Hasil Kode 2.2: sampling dan kuantisasi</t>
  </si>
  <si>
    <t>Bagian 2, Langkah 2.4</t>
  </si>
  <si>
    <t>T9 Diagnosis</t>
  </si>
  <si>
    <t>Tabel 9. Diagnosis mutu citra</t>
  </si>
  <si>
    <t>Bagian 3, Langkah 3.2</t>
  </si>
  <si>
    <t>T10 Perbaikan</t>
  </si>
  <si>
    <t>Tabel 10. Hasil perbaikan citra kondisi bayangan</t>
  </si>
  <si>
    <t>Bagian 3, Langkah 3.3</t>
  </si>
  <si>
    <t>3.4 CLAHE</t>
  </si>
  <si>
    <t>Hasil Kode 3.3: grid clipLimit x tileGridSize</t>
  </si>
  <si>
    <t>Bagian 3, Langkah 3.4</t>
  </si>
  <si>
    <t>T11 Penapis</t>
  </si>
  <si>
    <t>Tabel 11. Perbandingan penapis (Gaussian 20 dan garam-merica 4%)</t>
  </si>
  <si>
    <t>Bagian 4, Langkah 4.3</t>
  </si>
  <si>
    <t>4.4 Kernel Median</t>
  </si>
  <si>
    <t>Pengaruh ukuran kernel median pada bercak kecil (dI dan KB)</t>
  </si>
  <si>
    <t>Bagian 4, Langkah 4.4</t>
  </si>
  <si>
    <t>4.6 PSNR Normal</t>
  </si>
  <si>
    <t>PSNR 12 citra kondisi normal sebelum dan sesudah penapisan</t>
  </si>
  <si>
    <t>Bagian 4, Langkah 4.6</t>
  </si>
  <si>
    <t>T12 Evaluasi</t>
  </si>
  <si>
    <t>Tabel 12. Evaluasi rangkaian praproses (KB sebelum dan sesudah)</t>
  </si>
  <si>
    <t>Bagian 5, Langkah 5.2</t>
  </si>
  <si>
    <t>5.3 Bercak Palsu</t>
  </si>
  <si>
    <t>Uji bercak palsu pada 20 citra kelas sehat</t>
  </si>
  <si>
    <t>Bagian 5, Langkah 5.3</t>
  </si>
  <si>
    <t>T13 Justifikasi</t>
  </si>
  <si>
    <t>Tabel 13. Justifikasi rangkaian praproses</t>
  </si>
  <si>
    <t>Bagian 5, Langkah 5.4</t>
  </si>
  <si>
    <t>Catatan</t>
  </si>
  <si>
    <t>Lembar hitung manual (Tabel 7, Bagian 3 dan 4) dikerjakan dengan tulisan tangan atau dokumen terpisah dan dilampirkan di laporan, jadi tidak dibuatkan tabelnya di sini.</t>
  </si>
  <si>
    <t>Ambang KB dari dokumen: &lt; 1 sulit dipisahkan, 1-3 sedang, &gt; 3 relatif mudah dipisahkan.</t>
  </si>
  <si>
    <t>Bagian 1, Langkah 7. Isi risiko dan mitigasi dengan kalimat Anda sendiri.</t>
  </si>
  <si>
    <t>Aspek</t>
  </si>
  <si>
    <t>Risiko pada SIMUTEH</t>
  </si>
  <si>
    <t>Mitigasi awal</t>
  </si>
  <si>
    <t>(contoh) Privasi citra</t>
  </si>
  <si>
    <t>Foto di lokasi sortir dapat memuat wajah petani atau koordinat GPS kebun.</t>
  </si>
  <si>
    <t>Foto tanpa wajah, GPS kamera dimatikan, metadata EXIF dihapus sebelum disimpan di repository.</t>
  </si>
  <si>
    <t>Privasi citra</t>
  </si>
  <si>
    <t>Bias dan keadilan</t>
  </si>
  <si>
    <t>Transparansi</t>
  </si>
  <si>
    <t>Keamanan data</t>
  </si>
  <si>
    <t>Dampak sosial</t>
  </si>
  <si>
    <t>Keterlacakan</t>
  </si>
  <si>
    <t>Rencana akuisisi citra SIMUTEH</t>
  </si>
  <si>
    <t>Bagian 2, Langkah 2.2. Dasarkan pada hasil lembar hitung 2.1 dan rujuk angkanya.</t>
  </si>
  <si>
    <t>Variabel</t>
  </si>
  <si>
    <t>Ketentuan</t>
  </si>
  <si>
    <t>Dasar / alasan (rujuk lembar hitung)</t>
  </si>
  <si>
    <t>(contoh) Jarak dan sudut pemotretan</t>
  </si>
  <si>
    <t>Kamera tegak lurus pada jarak X cm, ponsel di penyangga.</t>
  </si>
  <si>
    <t>Bercak terkecil 5 mm tetap terwakili minimal 10 piksel (hasil 2.1 butir c).</t>
  </si>
  <si>
    <t>Jarak dan sudut pemotretan</t>
  </si>
  <si>
    <t>Resolusi minimum</t>
  </si>
  <si>
    <t>Alas dan acuan ukuran</t>
  </si>
  <si>
    <t>Kondisi cahaya yang perlu diwakili</t>
  </si>
  <si>
    <t>Jumlah citra per kelas</t>
  </si>
  <si>
    <t>Penamaan berkas</t>
  </si>
  <si>
    <t>Izin pengambilan citra</t>
  </si>
  <si>
    <t>Penghapusan metadata EXIF</t>
  </si>
  <si>
    <t>Larangan memuat wajah</t>
  </si>
  <si>
    <t>Tabel 8. Rerata KB per kanal dan kondisi cahaya</t>
  </si>
  <si>
    <t>Bagian 2, Langkah 2.5-2.6. Salin dari tabel_kb (Kode 2.3). Baris rerata dihitung otomatis.</t>
  </si>
  <si>
    <t>A. Kelas berat (20 citra, teh_041 sampai teh_060)</t>
  </si>
  <si>
    <t>Kondisi</t>
  </si>
  <si>
    <t>B</t>
  </si>
  <si>
    <t>G</t>
  </si>
  <si>
    <t>R</t>
  </si>
  <si>
    <t>Gray</t>
  </si>
  <si>
    <t>H</t>
  </si>
  <si>
    <t>S</t>
  </si>
  <si>
    <t>V</t>
  </si>
  <si>
    <t>(contoh) normal</t>
  </si>
  <si>
    <t>normal</t>
  </si>
  <si>
    <t>gelap</t>
  </si>
  <si>
    <t>terang</t>
  </si>
  <si>
    <t>kontras_rendah</t>
  </si>
  <si>
    <t>bayangan</t>
  </si>
  <si>
    <t>Rerata semua kondisi</t>
  </si>
  <si>
    <t>B. Kelas ringan (20 citra, teh_021 sampai teh_040), Langkah 2.6</t>
  </si>
  <si>
    <t>Kanal terbaik (berat):</t>
  </si>
  <si>
    <t>Kanal terbaik (ringan):</t>
  </si>
  <si>
    <t>Hasil Kode 2.2: sampling dan kuantisasi (citra teh_041)</t>
  </si>
  <si>
    <t>Bagian 2, Langkah 2.4. Isi ukuran dan KB dari keluaran Kode 2.2.</t>
  </si>
  <si>
    <t>A. Sampling</t>
  </si>
  <si>
    <t>Faktor skala (fx)</t>
  </si>
  <si>
    <t>Ukuran citra (tinggi, lebar)</t>
  </si>
  <si>
    <t>KB</t>
  </si>
  <si>
    <t>Pengamatan visual</t>
  </si>
  <si>
    <t>(contoh) 0.5</t>
  </si>
  <si>
    <t>(240, 320)</t>
  </si>
  <si>
    <t>Bercak masih jelas</t>
  </si>
  <si>
    <t>B. Kuantisasi</t>
  </si>
  <si>
    <t>Jumlah bit (k)</t>
  </si>
  <si>
    <t>Jumlah level unik</t>
  </si>
  <si>
    <t>(contoh) 8</t>
  </si>
  <si>
    <t>Gradasi halus</t>
  </si>
  <si>
    <t>Bagian 3, Langkah 3.2. Nilai dari statistik(gray) pada Kode 3.1.</t>
  </si>
  <si>
    <t>Citra</t>
  </si>
  <si>
    <t>Rerata</t>
  </si>
  <si>
    <t>Simp. baku</t>
  </si>
  <si>
    <t>Min-maks</t>
  </si>
  <si>
    <t>% gelap</t>
  </si>
  <si>
    <t>% terang</t>
  </si>
  <si>
    <t>Diagnosis</t>
  </si>
  <si>
    <t>Usulan perbaikan</t>
  </si>
  <si>
    <t>(contoh) teh_042 (gelap)</t>
  </si>
  <si>
    <t>0-171</t>
  </si>
  <si>
    <t>Gelap, histogram menumpuk di kiri</t>
  </si>
  <si>
    <t>Koreksi gamma &lt; 1 atau CLAHE</t>
  </si>
  <si>
    <t>teh_041 (normal)</t>
  </si>
  <si>
    <t>teh_042 (gelap)</t>
  </si>
  <si>
    <t>teh_043 (terang)</t>
  </si>
  <si>
    <t>teh_044 (kontras rendah)</t>
  </si>
  <si>
    <t>teh_045 (bayangan)</t>
  </si>
  <si>
    <t>teh_021 sampai teh_025 (ringan)</t>
  </si>
  <si>
    <t>Tabel 10. Hasil perbaikan citra kondisi bayangan (teh_045)</t>
  </si>
  <si>
    <t>Bagian 3, Langkah 3.3. KB dan simpangan baku dari keluaran Kode 3.2.</t>
  </si>
  <si>
    <t>Metode</t>
  </si>
  <si>
    <t>Parameter</t>
  </si>
  <si>
    <t>Simpangan baku</t>
  </si>
  <si>
    <t>(contoh) CLAHE</t>
  </si>
  <si>
    <t>clipLimit 2.0, tile 8x8</t>
  </si>
  <si>
    <t>Latar lebih rata, bercak tampak</t>
  </si>
  <si>
    <t>asli</t>
  </si>
  <si>
    <t>negatif</t>
  </si>
  <si>
    <t>cerah+50</t>
  </si>
  <si>
    <t>kontras</t>
  </si>
  <si>
    <t>regang</t>
  </si>
  <si>
    <t>gamma0.5</t>
  </si>
  <si>
    <t>gamma1.8</t>
  </si>
  <si>
    <t>ekualisasi</t>
  </si>
  <si>
    <t>CLAHE</t>
  </si>
  <si>
    <t>Hasil Kode 3.3: pengaruh clipLimit dan tileGridSize (teh_045)</t>
  </si>
  <si>
    <t>Bagian 3, Langkah 3.4. Isi KB untuk setiap kombinasi.</t>
  </si>
  <si>
    <t>clipLimit</t>
  </si>
  <si>
    <t>tileGridSize</t>
  </si>
  <si>
    <t>Pengamatan (derau, kesan tidak alami)</t>
  </si>
  <si>
    <t>(contoh) 2.0</t>
  </si>
  <si>
    <t>8</t>
  </si>
  <si>
    <t>Seimbang</t>
  </si>
  <si>
    <t>Tabel 11. Perbandingan penapis</t>
  </si>
  <si>
    <t>Bagian 4, Langkah 4.3. Salin dari hasil/b4_tabel_penapis.csv (derau gauss_20 dan sp_4%).</t>
  </si>
  <si>
    <t>Penapis</t>
  </si>
  <si>
    <t>Gaussian 20</t>
  </si>
  <si>
    <t>Garam-merica 4%</t>
  </si>
  <si>
    <t>PSNR (dB)</t>
  </si>
  <si>
    <t>Waktu (ms)</t>
  </si>
  <si>
    <t>(contoh) median_3</t>
  </si>
  <si>
    <t>tanpa</t>
  </si>
  <si>
    <t>rerata_3</t>
  </si>
  <si>
    <t>rerata_5</t>
  </si>
  <si>
    <t>gauss_5</t>
  </si>
  <si>
    <t>median_3</t>
  </si>
  <si>
    <t>median_5</t>
  </si>
  <si>
    <t>median_9</t>
  </si>
  <si>
    <t>Catatan: baris "tanpa" = citra berderau tanpa penapis (waktu 0).</t>
  </si>
  <si>
    <t>Pengaruh ukuran kernel median pada bercak kecil (20 citra kelas ringan)</t>
  </si>
  <si>
    <t>Bagian 4, Langkah 4.4. Salin dari hasil_median.groupby('kernel'). Kernel 1 = tanpa penapis.</t>
  </si>
  <si>
    <t>Ukuran kernel</t>
  </si>
  <si>
    <t>dI (rerata)</t>
  </si>
  <si>
    <t>KB (rerata)</t>
  </si>
  <si>
    <t>Pengamatan (bercak masih terlihat?)</t>
  </si>
  <si>
    <t>(contoh) 5</t>
  </si>
  <si>
    <t>Bercak terkecil mulai samar</t>
  </si>
  <si>
    <t>Bagian 4, Langkah 4.6. PSNR terhadap pasangan di folder bersih/. Selisih dihitung otomatis.</t>
  </si>
  <si>
    <t>Penapis dan parameter yang dipilih:</t>
  </si>
  <si>
    <t>PSNR sebelum (dB)</t>
  </si>
  <si>
    <t>PSNR sesudah (dB)</t>
  </si>
  <si>
    <t>Selisih (dB)</t>
  </si>
  <si>
    <t>(contoh) teh_001.png</t>
  </si>
  <si>
    <t>teh_001.png</t>
  </si>
  <si>
    <t>teh_006.png</t>
  </si>
  <si>
    <t>teh_011.png</t>
  </si>
  <si>
    <t>teh_016.png</t>
  </si>
  <si>
    <t>teh_021.png</t>
  </si>
  <si>
    <t>teh_026.png</t>
  </si>
  <si>
    <t>teh_031.png</t>
  </si>
  <si>
    <t>teh_036.png</t>
  </si>
  <si>
    <t>teh_041.png</t>
  </si>
  <si>
    <t>teh_046.png</t>
  </si>
  <si>
    <t>teh_051.png</t>
  </si>
  <si>
    <t>teh_056.png</t>
  </si>
  <si>
    <t>Tabel 12. Evaluasi rangkaian praproses (40 citra berbercak)</t>
  </si>
  <si>
    <t>Bagian 5, Langkah 5.2. KB pada kanal terpilih. Perubahan (%) dihitung otomatis.</t>
  </si>
  <si>
    <t>Kanal terpilih:</t>
  </si>
  <si>
    <t>KB sebelum</t>
  </si>
  <si>
    <t>KB sesudah</t>
  </si>
  <si>
    <t>Perubahan (%)</t>
  </si>
  <si>
    <t>(contoh) gelap</t>
  </si>
  <si>
    <t>Naik karena gamma dan CLAHE</t>
  </si>
  <si>
    <t>Uji bercak palsu pada 20 citra kelas sehat (teh_001 sampai teh_020)</t>
  </si>
  <si>
    <t>Bagian 5, Langkah 5.3. Simpangan baku kanal terpilih pada area daun (mask_daun), rerata per kondisi.</t>
  </si>
  <si>
    <t>Simp. baku sebelum</t>
  </si>
  <si>
    <t>Simp. baku sesudah</t>
  </si>
  <si>
    <t>Muncul titik terang? (Ya/Tidak)</t>
  </si>
  <si>
    <t>(contoh) bayangan</t>
  </si>
  <si>
    <t>Tidak</t>
  </si>
  <si>
    <t>Tidak ada area terang yang mirip bercak</t>
  </si>
  <si>
    <t>Bagian 5, Langkah 5.4. Rujuk tabel atau gambar bernomor dari hasil Anda sebagai bukti.</t>
  </si>
  <si>
    <t>Langkah</t>
  </si>
  <si>
    <t>Parameter final</t>
  </si>
  <si>
    <t>Alasan dan bukti (rujuk tabel atau gambar)</t>
  </si>
  <si>
    <t>Risiko bila salah atur</t>
  </si>
  <si>
    <t>(contoh) 1. Ubah ukuran</t>
  </si>
  <si>
    <t>lebar 640 px, INTER_AREA</t>
  </si>
  <si>
    <t>Bercak 5 mm tetap &gt;= 10 px (lembar hitung 2.1 butir d); waktu proses lebih singkat.</t>
  </si>
  <si>
    <t>Terlalu kecil: bercak hilang. Terlalu besar: waktu proses naik.</t>
  </si>
  <si>
    <t>1. Ubah ukuran</t>
  </si>
  <si>
    <t>2. Koreksi gamma</t>
  </si>
  <si>
    <t>3. CLAHE kanal V</t>
  </si>
  <si>
    <t>4. Redam derau</t>
  </si>
  <si>
    <t>5. Tajamkan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</si>
</sst>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5"/>
      <color rgb="FF44546A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b/>
      <sz val="13"/>
      <color rgb="FF44546A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vertical="top" wrapText="1"/>
    </xf>
    <xf numFmtId="0" fontId="7" fillId="0" borderId="0" xfId="0" applyFont="1"/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44546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546A"/>
    <pageSetUpPr fitToPage="1"/>
  </sheetPr>
  <dimension ref="A1:C33"/>
  <sheetViews>
    <sheetView showGridLines="0" topLeftCell="A9" zoomScaleNormal="100" workbookViewId="0">
      <selection activeCell="A8" sqref="A8:C8"/>
    </sheetView>
  </sheetViews>
  <sheetFormatPr defaultColWidth="8.6328125" defaultRowHeight="14.5" x14ac:dyDescent="0.35"/>
  <cols>
    <col min="1" max="1" width="24" customWidth="1"/>
    <col min="2" max="2" width="70" customWidth="1"/>
    <col min="3" max="3" width="34" customWidth="1"/>
  </cols>
  <sheetData>
    <row r="1" spans="1:3" ht="19" x14ac:dyDescent="0.4">
      <c r="A1" s="3" t="s">
        <v>0</v>
      </c>
    </row>
    <row r="2" spans="1:3" x14ac:dyDescent="0.35">
      <c r="A2" s="4" t="s">
        <v>1</v>
      </c>
    </row>
    <row r="4" spans="1:3" x14ac:dyDescent="0.35">
      <c r="A4" s="5" t="s">
        <v>2</v>
      </c>
    </row>
    <row r="5" spans="1:3" ht="30" customHeight="1" x14ac:dyDescent="0.35">
      <c r="A5" s="2" t="s">
        <v>3</v>
      </c>
      <c r="B5" s="2"/>
      <c r="C5" s="2"/>
    </row>
    <row r="6" spans="1:3" ht="30" customHeight="1" x14ac:dyDescent="0.35">
      <c r="A6" s="2" t="s">
        <v>4</v>
      </c>
      <c r="B6" s="2"/>
      <c r="C6" s="2"/>
    </row>
    <row r="7" spans="1:3" ht="30" customHeight="1" x14ac:dyDescent="0.35">
      <c r="A7" s="2" t="s">
        <v>5</v>
      </c>
      <c r="B7" s="2"/>
      <c r="C7" s="2"/>
    </row>
    <row r="8" spans="1:3" ht="30" customHeight="1" x14ac:dyDescent="0.35">
      <c r="A8" s="2" t="s">
        <v>6</v>
      </c>
      <c r="B8" s="2"/>
      <c r="C8" s="2"/>
    </row>
    <row r="10" spans="1:3" x14ac:dyDescent="0.35">
      <c r="A10" s="5" t="s">
        <v>7</v>
      </c>
    </row>
    <row r="11" spans="1:3" x14ac:dyDescent="0.35">
      <c r="A11" s="6" t="s">
        <v>8</v>
      </c>
    </row>
    <row r="12" spans="1:3" x14ac:dyDescent="0.35">
      <c r="A12" s="7" t="s">
        <v>9</v>
      </c>
    </row>
    <row r="13" spans="1:3" x14ac:dyDescent="0.35">
      <c r="A13" s="8" t="s">
        <v>10</v>
      </c>
    </row>
    <row r="15" spans="1:3" x14ac:dyDescent="0.35">
      <c r="A15" s="5" t="s">
        <v>11</v>
      </c>
    </row>
    <row r="16" spans="1:3" ht="31.5" customHeight="1" x14ac:dyDescent="0.35">
      <c r="A16" s="14" t="s">
        <v>12</v>
      </c>
      <c r="B16" s="14" t="s">
        <v>13</v>
      </c>
      <c r="C16" s="14" t="s">
        <v>14</v>
      </c>
    </row>
    <row r="17" spans="1:3" x14ac:dyDescent="0.35">
      <c r="A17" s="9" t="s">
        <v>15</v>
      </c>
      <c r="B17" s="9" t="s">
        <v>16</v>
      </c>
      <c r="C17" s="9" t="s">
        <v>17</v>
      </c>
    </row>
    <row r="18" spans="1:3" x14ac:dyDescent="0.35">
      <c r="A18" s="9" t="s">
        <v>18</v>
      </c>
      <c r="B18" s="9" t="s">
        <v>19</v>
      </c>
      <c r="C18" s="9" t="s">
        <v>20</v>
      </c>
    </row>
    <row r="19" spans="1:3" x14ac:dyDescent="0.35">
      <c r="A19" s="9" t="s">
        <v>21</v>
      </c>
      <c r="B19" s="9" t="s">
        <v>22</v>
      </c>
      <c r="C19" s="9" t="s">
        <v>23</v>
      </c>
    </row>
    <row r="20" spans="1:3" x14ac:dyDescent="0.35">
      <c r="A20" s="9" t="s">
        <v>24</v>
      </c>
      <c r="B20" s="9" t="s">
        <v>25</v>
      </c>
      <c r="C20" s="9" t="s">
        <v>26</v>
      </c>
    </row>
    <row r="21" spans="1:3" x14ac:dyDescent="0.35">
      <c r="A21" s="9" t="s">
        <v>27</v>
      </c>
      <c r="B21" s="9" t="s">
        <v>28</v>
      </c>
      <c r="C21" s="9" t="s">
        <v>29</v>
      </c>
    </row>
    <row r="22" spans="1:3" x14ac:dyDescent="0.35">
      <c r="A22" s="9" t="s">
        <v>30</v>
      </c>
      <c r="B22" s="9" t="s">
        <v>31</v>
      </c>
      <c r="C22" s="9" t="s">
        <v>32</v>
      </c>
    </row>
    <row r="23" spans="1:3" x14ac:dyDescent="0.35">
      <c r="A23" s="9" t="s">
        <v>33</v>
      </c>
      <c r="B23" s="9" t="s">
        <v>34</v>
      </c>
      <c r="C23" s="9" t="s">
        <v>35</v>
      </c>
    </row>
    <row r="24" spans="1:3" x14ac:dyDescent="0.35">
      <c r="A24" s="9" t="s">
        <v>36</v>
      </c>
      <c r="B24" s="9" t="s">
        <v>37</v>
      </c>
      <c r="C24" s="9" t="s">
        <v>38</v>
      </c>
    </row>
    <row r="25" spans="1:3" x14ac:dyDescent="0.35">
      <c r="A25" s="9" t="s">
        <v>39</v>
      </c>
      <c r="B25" s="9" t="s">
        <v>40</v>
      </c>
      <c r="C25" s="9" t="s">
        <v>41</v>
      </c>
    </row>
    <row r="26" spans="1:3" x14ac:dyDescent="0.35">
      <c r="A26" s="9" t="s">
        <v>42</v>
      </c>
      <c r="B26" s="9" t="s">
        <v>43</v>
      </c>
      <c r="C26" s="9" t="s">
        <v>44</v>
      </c>
    </row>
    <row r="27" spans="1:3" x14ac:dyDescent="0.35">
      <c r="A27" s="9" t="s">
        <v>45</v>
      </c>
      <c r="B27" s="9" t="s">
        <v>46</v>
      </c>
      <c r="C27" s="9" t="s">
        <v>47</v>
      </c>
    </row>
    <row r="28" spans="1:3" x14ac:dyDescent="0.35">
      <c r="A28" s="9" t="s">
        <v>48</v>
      </c>
      <c r="B28" s="9" t="s">
        <v>49</v>
      </c>
      <c r="C28" s="9" t="s">
        <v>50</v>
      </c>
    </row>
    <row r="29" spans="1:3" x14ac:dyDescent="0.35">
      <c r="A29" s="9" t="s">
        <v>51</v>
      </c>
      <c r="B29" s="9" t="s">
        <v>52</v>
      </c>
      <c r="C29" s="9" t="s">
        <v>53</v>
      </c>
    </row>
    <row r="31" spans="1:3" x14ac:dyDescent="0.35">
      <c r="A31" s="5" t="s">
        <v>54</v>
      </c>
    </row>
    <row r="32" spans="1:3" ht="30" customHeight="1" x14ac:dyDescent="0.35">
      <c r="A32" s="2" t="s">
        <v>55</v>
      </c>
      <c r="B32" s="2"/>
      <c r="C32" s="2"/>
    </row>
    <row r="33" spans="1:3" x14ac:dyDescent="0.35">
      <c r="A33" s="1" t="s">
        <v>56</v>
      </c>
      <c r="B33" s="1"/>
      <c r="C33" s="1"/>
    </row>
  </sheetData>
  <mergeCells count="6">
    <mergeCell ref="A33:C33"/>
    <mergeCell ref="A5:C5"/>
    <mergeCell ref="A6:C6"/>
    <mergeCell ref="A7:C7"/>
    <mergeCell ref="A8:C8"/>
    <mergeCell ref="A32:C3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C11"/>
  <sheetViews>
    <sheetView showGridLines="0" topLeftCell="A4" zoomScaleNormal="100" workbookViewId="0">
      <selection activeCell="B6" sqref="B6"/>
    </sheetView>
  </sheetViews>
  <sheetFormatPr defaultColWidth="8.6328125" defaultRowHeight="14.5" x14ac:dyDescent="0.35"/>
  <cols>
    <col min="1" max="1" width="24" customWidth="1"/>
    <col min="2" max="3" width="55" customWidth="1"/>
  </cols>
  <sheetData>
    <row r="1" spans="1:3" ht="16.5" x14ac:dyDescent="0.35">
      <c r="A1" s="10" t="s">
        <v>16</v>
      </c>
    </row>
    <row r="2" spans="1:3" x14ac:dyDescent="0.35">
      <c r="A2" s="4" t="s">
        <v>57</v>
      </c>
    </row>
    <row r="4" spans="1:3" ht="31.5" customHeight="1" x14ac:dyDescent="0.35">
      <c r="A4" s="14" t="s">
        <v>58</v>
      </c>
      <c r="B4" s="14" t="s">
        <v>59</v>
      </c>
      <c r="C4" s="14" t="s">
        <v>60</v>
      </c>
    </row>
    <row r="5" spans="1:3" ht="48" customHeight="1" x14ac:dyDescent="0.35">
      <c r="A5" s="11" t="s">
        <v>61</v>
      </c>
      <c r="B5" s="11" t="s">
        <v>62</v>
      </c>
      <c r="C5" s="11" t="s">
        <v>63</v>
      </c>
    </row>
    <row r="6" spans="1:3" ht="48" customHeight="1" x14ac:dyDescent="0.35">
      <c r="A6" s="12" t="s">
        <v>64</v>
      </c>
      <c r="B6" s="9"/>
      <c r="C6" s="9"/>
    </row>
    <row r="7" spans="1:3" ht="48" customHeight="1" x14ac:dyDescent="0.35">
      <c r="A7" s="12" t="s">
        <v>65</v>
      </c>
      <c r="B7" s="9"/>
      <c r="C7" s="9"/>
    </row>
    <row r="8" spans="1:3" ht="48" customHeight="1" x14ac:dyDescent="0.35">
      <c r="A8" s="12" t="s">
        <v>66</v>
      </c>
      <c r="B8" s="9"/>
      <c r="C8" s="9"/>
    </row>
    <row r="9" spans="1:3" ht="48" customHeight="1" x14ac:dyDescent="0.35">
      <c r="A9" s="12" t="s">
        <v>67</v>
      </c>
      <c r="B9" s="9"/>
      <c r="C9" s="9"/>
    </row>
    <row r="10" spans="1:3" ht="48" customHeight="1" x14ac:dyDescent="0.35">
      <c r="A10" s="12" t="s">
        <v>68</v>
      </c>
      <c r="B10" s="9"/>
      <c r="C10" s="9"/>
    </row>
    <row r="11" spans="1:3" ht="48" customHeight="1" x14ac:dyDescent="0.35">
      <c r="A11" s="12" t="s">
        <v>69</v>
      </c>
      <c r="B11" s="9"/>
      <c r="C11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C14"/>
  <sheetViews>
    <sheetView showGridLines="0" zoomScaleNormal="100" workbookViewId="0">
      <selection activeCell="A4" sqref="A4:C4"/>
    </sheetView>
  </sheetViews>
  <sheetFormatPr defaultColWidth="8.6328125" defaultRowHeight="14.5" x14ac:dyDescent="0.35"/>
  <cols>
    <col min="1" max="1" width="30" customWidth="1"/>
    <col min="2" max="2" width="55" customWidth="1"/>
    <col min="3" max="3" width="45" customWidth="1"/>
  </cols>
  <sheetData>
    <row r="1" spans="1:3" ht="16.5" x14ac:dyDescent="0.35">
      <c r="A1" s="10" t="s">
        <v>70</v>
      </c>
    </row>
    <row r="2" spans="1:3" x14ac:dyDescent="0.35">
      <c r="A2" s="4" t="s">
        <v>71</v>
      </c>
    </row>
    <row r="4" spans="1:3" ht="31.5" customHeight="1" x14ac:dyDescent="0.35">
      <c r="A4" s="14" t="s">
        <v>72</v>
      </c>
      <c r="B4" s="14" t="s">
        <v>73</v>
      </c>
      <c r="C4" s="14" t="s">
        <v>74</v>
      </c>
    </row>
    <row r="5" spans="1:3" ht="39.75" customHeight="1" x14ac:dyDescent="0.35">
      <c r="A5" s="11" t="s">
        <v>75</v>
      </c>
      <c r="B5" s="11" t="s">
        <v>76</v>
      </c>
      <c r="C5" s="11" t="s">
        <v>77</v>
      </c>
    </row>
    <row r="6" spans="1:3" ht="39.75" customHeight="1" x14ac:dyDescent="0.35">
      <c r="A6" s="12" t="s">
        <v>78</v>
      </c>
      <c r="B6" s="9"/>
      <c r="C6" s="9"/>
    </row>
    <row r="7" spans="1:3" ht="39.75" customHeight="1" x14ac:dyDescent="0.35">
      <c r="A7" s="12" t="s">
        <v>79</v>
      </c>
      <c r="B7" s="9"/>
      <c r="C7" s="9"/>
    </row>
    <row r="8" spans="1:3" ht="39.75" customHeight="1" x14ac:dyDescent="0.35">
      <c r="A8" s="12" t="s">
        <v>80</v>
      </c>
      <c r="B8" s="9"/>
      <c r="C8" s="9"/>
    </row>
    <row r="9" spans="1:3" ht="39.75" customHeight="1" x14ac:dyDescent="0.35">
      <c r="A9" s="12" t="s">
        <v>81</v>
      </c>
      <c r="B9" s="9"/>
      <c r="C9" s="9"/>
    </row>
    <row r="10" spans="1:3" ht="39.75" customHeight="1" x14ac:dyDescent="0.35">
      <c r="A10" s="12" t="s">
        <v>82</v>
      </c>
      <c r="B10" s="9"/>
      <c r="C10" s="9"/>
    </row>
    <row r="11" spans="1:3" ht="39.75" customHeight="1" x14ac:dyDescent="0.35">
      <c r="A11" s="12" t="s">
        <v>83</v>
      </c>
      <c r="B11" s="9"/>
      <c r="C11" s="9"/>
    </row>
    <row r="12" spans="1:3" ht="39.75" customHeight="1" x14ac:dyDescent="0.35">
      <c r="A12" s="12" t="s">
        <v>84</v>
      </c>
      <c r="B12" s="9"/>
      <c r="C12" s="9"/>
    </row>
    <row r="13" spans="1:3" ht="39.75" customHeight="1" x14ac:dyDescent="0.35">
      <c r="A13" s="12" t="s">
        <v>85</v>
      </c>
      <c r="B13" s="9"/>
      <c r="C13" s="9"/>
    </row>
    <row r="14" spans="1:3" ht="39.75" customHeight="1" x14ac:dyDescent="0.35">
      <c r="A14" s="12" t="s">
        <v>86</v>
      </c>
      <c r="B14" s="9"/>
      <c r="C14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H23"/>
  <sheetViews>
    <sheetView showGridLines="0" zoomScaleNormal="100" workbookViewId="0">
      <selection activeCell="A14" sqref="A14:H14"/>
    </sheetView>
  </sheetViews>
  <sheetFormatPr defaultColWidth="8.6328125" defaultRowHeight="14.5" x14ac:dyDescent="0.35"/>
  <cols>
    <col min="1" max="1" width="22" customWidth="1"/>
    <col min="2" max="8" width="11" customWidth="1"/>
  </cols>
  <sheetData>
    <row r="1" spans="1:8" ht="16.5" x14ac:dyDescent="0.35">
      <c r="A1" s="10" t="s">
        <v>87</v>
      </c>
    </row>
    <row r="2" spans="1:8" x14ac:dyDescent="0.35">
      <c r="A2" s="4" t="s">
        <v>88</v>
      </c>
    </row>
    <row r="3" spans="1:8" x14ac:dyDescent="0.35">
      <c r="A3" s="5" t="s">
        <v>89</v>
      </c>
    </row>
    <row r="4" spans="1:8" ht="31.5" customHeight="1" x14ac:dyDescent="0.35">
      <c r="A4" s="14" t="s">
        <v>90</v>
      </c>
      <c r="B4" s="14" t="s">
        <v>91</v>
      </c>
      <c r="C4" s="14" t="s">
        <v>92</v>
      </c>
      <c r="D4" s="14" t="s">
        <v>93</v>
      </c>
      <c r="E4" s="14" t="s">
        <v>94</v>
      </c>
      <c r="F4" s="14" t="s">
        <v>95</v>
      </c>
      <c r="G4" s="14" t="s">
        <v>96</v>
      </c>
      <c r="H4" s="14" t="s">
        <v>97</v>
      </c>
    </row>
    <row r="5" spans="1:8" x14ac:dyDescent="0.35">
      <c r="A5" s="11" t="s">
        <v>98</v>
      </c>
      <c r="B5" s="11">
        <v>3.42</v>
      </c>
      <c r="C5" s="11">
        <v>3.1</v>
      </c>
      <c r="D5" s="11">
        <v>2.85</v>
      </c>
      <c r="E5" s="11">
        <v>3.2</v>
      </c>
      <c r="F5" s="11">
        <v>0.91</v>
      </c>
      <c r="G5" s="11">
        <v>1.74</v>
      </c>
      <c r="H5" s="11">
        <v>2.6</v>
      </c>
    </row>
    <row r="6" spans="1:8" x14ac:dyDescent="0.35">
      <c r="A6" s="12" t="s">
        <v>99</v>
      </c>
      <c r="B6" s="9"/>
      <c r="C6" s="9"/>
      <c r="D6" s="9"/>
      <c r="E6" s="9"/>
      <c r="F6" s="9"/>
      <c r="G6" s="9"/>
      <c r="H6" s="9"/>
    </row>
    <row r="7" spans="1:8" x14ac:dyDescent="0.35">
      <c r="A7" s="12" t="s">
        <v>100</v>
      </c>
      <c r="B7" s="9"/>
      <c r="C7" s="9"/>
      <c r="D7" s="9"/>
      <c r="E7" s="9"/>
      <c r="F7" s="9"/>
      <c r="G7" s="9"/>
      <c r="H7" s="9"/>
    </row>
    <row r="8" spans="1:8" x14ac:dyDescent="0.35">
      <c r="A8" s="12" t="s">
        <v>101</v>
      </c>
      <c r="B8" s="9"/>
      <c r="C8" s="9"/>
      <c r="D8" s="9"/>
      <c r="E8" s="9"/>
      <c r="F8" s="9"/>
      <c r="G8" s="9"/>
      <c r="H8" s="9"/>
    </row>
    <row r="9" spans="1:8" x14ac:dyDescent="0.35">
      <c r="A9" s="12" t="s">
        <v>102</v>
      </c>
      <c r="B9" s="9"/>
      <c r="C9" s="9"/>
      <c r="D9" s="9"/>
      <c r="E9" s="9"/>
      <c r="F9" s="9"/>
      <c r="G9" s="9"/>
      <c r="H9" s="9"/>
    </row>
    <row r="10" spans="1:8" x14ac:dyDescent="0.35">
      <c r="A10" s="12" t="s">
        <v>103</v>
      </c>
      <c r="B10" s="9"/>
      <c r="C10" s="9"/>
      <c r="D10" s="9"/>
      <c r="E10" s="9"/>
      <c r="F10" s="9"/>
      <c r="G10" s="9"/>
      <c r="H10" s="9"/>
    </row>
    <row r="11" spans="1:8" x14ac:dyDescent="0.35">
      <c r="A11" s="12" t="s">
        <v>104</v>
      </c>
      <c r="B11" s="9" t="str">
        <f t="shared" ref="B11:H11" si="0">IFERROR(AVERAGE(B6:B10),"")</f>
        <v/>
      </c>
      <c r="C11" s="9" t="str">
        <f t="shared" si="0"/>
        <v/>
      </c>
      <c r="D11" s="9" t="str">
        <f t="shared" si="0"/>
        <v/>
      </c>
      <c r="E11" s="9" t="str">
        <f t="shared" si="0"/>
        <v/>
      </c>
      <c r="F11" s="9" t="str">
        <f t="shared" si="0"/>
        <v/>
      </c>
      <c r="G11" s="9" t="str">
        <f t="shared" si="0"/>
        <v/>
      </c>
      <c r="H11" s="9" t="str">
        <f t="shared" si="0"/>
        <v/>
      </c>
    </row>
    <row r="13" spans="1:8" x14ac:dyDescent="0.35">
      <c r="A13" s="5" t="s">
        <v>105</v>
      </c>
    </row>
    <row r="14" spans="1:8" ht="31.5" customHeight="1" x14ac:dyDescent="0.35">
      <c r="A14" s="14" t="s">
        <v>90</v>
      </c>
      <c r="B14" s="14" t="s">
        <v>91</v>
      </c>
      <c r="C14" s="14" t="s">
        <v>92</v>
      </c>
      <c r="D14" s="14" t="s">
        <v>93</v>
      </c>
      <c r="E14" s="14" t="s">
        <v>94</v>
      </c>
      <c r="F14" s="14" t="s">
        <v>95</v>
      </c>
      <c r="G14" s="14" t="s">
        <v>96</v>
      </c>
      <c r="H14" s="14" t="s">
        <v>97</v>
      </c>
    </row>
    <row r="15" spans="1:8" x14ac:dyDescent="0.35">
      <c r="A15" s="12" t="s">
        <v>99</v>
      </c>
      <c r="B15" s="9"/>
      <c r="C15" s="9"/>
      <c r="D15" s="9"/>
      <c r="E15" s="9"/>
      <c r="F15" s="9"/>
      <c r="G15" s="9"/>
      <c r="H15" s="9"/>
    </row>
    <row r="16" spans="1:8" x14ac:dyDescent="0.35">
      <c r="A16" s="12" t="s">
        <v>100</v>
      </c>
      <c r="B16" s="9"/>
      <c r="C16" s="9"/>
      <c r="D16" s="9"/>
      <c r="E16" s="9"/>
      <c r="F16" s="9"/>
      <c r="G16" s="9"/>
      <c r="H16" s="9"/>
    </row>
    <row r="17" spans="1:8" x14ac:dyDescent="0.35">
      <c r="A17" s="12" t="s">
        <v>101</v>
      </c>
      <c r="B17" s="9"/>
      <c r="C17" s="9"/>
      <c r="D17" s="9"/>
      <c r="E17" s="9"/>
      <c r="F17" s="9"/>
      <c r="G17" s="9"/>
      <c r="H17" s="9"/>
    </row>
    <row r="18" spans="1:8" x14ac:dyDescent="0.35">
      <c r="A18" s="12" t="s">
        <v>102</v>
      </c>
      <c r="B18" s="9"/>
      <c r="C18" s="9"/>
      <c r="D18" s="9"/>
      <c r="E18" s="9"/>
      <c r="F18" s="9"/>
      <c r="G18" s="9"/>
      <c r="H18" s="9"/>
    </row>
    <row r="19" spans="1:8" x14ac:dyDescent="0.35">
      <c r="A19" s="12" t="s">
        <v>103</v>
      </c>
      <c r="B19" s="9"/>
      <c r="C19" s="9"/>
      <c r="D19" s="9"/>
      <c r="E19" s="9"/>
      <c r="F19" s="9"/>
      <c r="G19" s="9"/>
      <c r="H19" s="9"/>
    </row>
    <row r="20" spans="1:8" x14ac:dyDescent="0.35">
      <c r="A20" s="12" t="s">
        <v>104</v>
      </c>
      <c r="B20" s="9" t="str">
        <f t="shared" ref="B20:H20" si="1">IFERROR(AVERAGE(B15:B19),"")</f>
        <v/>
      </c>
      <c r="C20" s="9" t="str">
        <f t="shared" si="1"/>
        <v/>
      </c>
      <c r="D20" s="9" t="str">
        <f t="shared" si="1"/>
        <v/>
      </c>
      <c r="E20" s="9" t="str">
        <f t="shared" si="1"/>
        <v/>
      </c>
      <c r="F20" s="9" t="str">
        <f t="shared" si="1"/>
        <v/>
      </c>
      <c r="G20" s="9" t="str">
        <f t="shared" si="1"/>
        <v/>
      </c>
      <c r="H20" s="9" t="str">
        <f t="shared" si="1"/>
        <v/>
      </c>
    </row>
    <row r="22" spans="1:8" x14ac:dyDescent="0.35">
      <c r="A22" s="9" t="s">
        <v>106</v>
      </c>
      <c r="B22" s="13"/>
    </row>
    <row r="23" spans="1:8" x14ac:dyDescent="0.35">
      <c r="A23" s="7" t="s">
        <v>107</v>
      </c>
      <c r="B23" s="13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D20"/>
  <sheetViews>
    <sheetView showGridLines="0" topLeftCell="A7" zoomScaleNormal="100" workbookViewId="0">
      <selection activeCell="A14" sqref="A14:D14"/>
    </sheetView>
  </sheetViews>
  <sheetFormatPr defaultColWidth="8.6328125" defaultRowHeight="14.5" x14ac:dyDescent="0.35"/>
  <cols>
    <col min="1" max="1" width="20" customWidth="1"/>
    <col min="2" max="2" width="22" customWidth="1"/>
    <col min="3" max="3" width="14" customWidth="1"/>
    <col min="4" max="4" width="40" customWidth="1"/>
  </cols>
  <sheetData>
    <row r="1" spans="1:4" ht="16.5" x14ac:dyDescent="0.35">
      <c r="A1" s="10" t="s">
        <v>108</v>
      </c>
    </row>
    <row r="2" spans="1:4" x14ac:dyDescent="0.35">
      <c r="A2" s="4" t="s">
        <v>109</v>
      </c>
    </row>
    <row r="3" spans="1:4" x14ac:dyDescent="0.35">
      <c r="A3" s="5" t="s">
        <v>110</v>
      </c>
    </row>
    <row r="4" spans="1:4" ht="31.5" customHeight="1" x14ac:dyDescent="0.35">
      <c r="A4" s="14" t="s">
        <v>111</v>
      </c>
      <c r="B4" s="14" t="s">
        <v>112</v>
      </c>
      <c r="C4" s="14" t="s">
        <v>113</v>
      </c>
      <c r="D4" s="14" t="s">
        <v>114</v>
      </c>
    </row>
    <row r="5" spans="1:4" ht="21.75" customHeight="1" x14ac:dyDescent="0.35">
      <c r="A5" s="11" t="s">
        <v>115</v>
      </c>
      <c r="B5" s="11" t="s">
        <v>116</v>
      </c>
      <c r="C5" s="11">
        <v>3.1</v>
      </c>
      <c r="D5" s="11" t="s">
        <v>117</v>
      </c>
    </row>
    <row r="6" spans="1:4" ht="21.75" customHeight="1" x14ac:dyDescent="0.35">
      <c r="A6" s="12">
        <v>0.5</v>
      </c>
      <c r="B6" s="9"/>
      <c r="C6" s="9"/>
      <c r="D6" s="9"/>
    </row>
    <row r="7" spans="1:4" ht="21.75" customHeight="1" x14ac:dyDescent="0.35">
      <c r="A7" s="12">
        <v>0.2</v>
      </c>
      <c r="B7" s="9"/>
      <c r="C7" s="9"/>
      <c r="D7" s="9"/>
    </row>
    <row r="8" spans="1:4" ht="21.75" customHeight="1" x14ac:dyDescent="0.35">
      <c r="A8" s="12">
        <v>0.1</v>
      </c>
      <c r="B8" s="9"/>
      <c r="C8" s="9"/>
      <c r="D8" s="9"/>
    </row>
    <row r="9" spans="1:4" ht="21.75" customHeight="1" x14ac:dyDescent="0.35">
      <c r="A9" s="12">
        <v>0.05</v>
      </c>
      <c r="B9" s="9"/>
      <c r="C9" s="9"/>
      <c r="D9" s="9"/>
    </row>
    <row r="13" spans="1:4" x14ac:dyDescent="0.35">
      <c r="A13" s="5" t="s">
        <v>118</v>
      </c>
    </row>
    <row r="14" spans="1:4" ht="31.5" customHeight="1" x14ac:dyDescent="0.35">
      <c r="A14" s="14" t="s">
        <v>119</v>
      </c>
      <c r="B14" s="14" t="s">
        <v>120</v>
      </c>
      <c r="C14" s="14" t="s">
        <v>113</v>
      </c>
      <c r="D14" s="14" t="s">
        <v>114</v>
      </c>
    </row>
    <row r="15" spans="1:4" ht="21.75" customHeight="1" x14ac:dyDescent="0.35">
      <c r="A15" s="11" t="s">
        <v>121</v>
      </c>
      <c r="B15" s="11">
        <v>256</v>
      </c>
      <c r="C15" s="11">
        <v>3.15</v>
      </c>
      <c r="D15" s="11" t="s">
        <v>122</v>
      </c>
    </row>
    <row r="16" spans="1:4" ht="21.75" customHeight="1" x14ac:dyDescent="0.35">
      <c r="A16" s="12">
        <v>1</v>
      </c>
      <c r="B16" s="9"/>
      <c r="C16" s="9"/>
      <c r="D16" s="9"/>
    </row>
    <row r="17" spans="1:4" ht="21.75" customHeight="1" x14ac:dyDescent="0.35">
      <c r="A17" s="12">
        <v>2</v>
      </c>
      <c r="B17" s="9"/>
      <c r="C17" s="9"/>
      <c r="D17" s="9"/>
    </row>
    <row r="18" spans="1:4" ht="21.75" customHeight="1" x14ac:dyDescent="0.35">
      <c r="A18" s="12">
        <v>3</v>
      </c>
      <c r="B18" s="9"/>
      <c r="C18" s="9"/>
      <c r="D18" s="9"/>
    </row>
    <row r="19" spans="1:4" ht="21.75" customHeight="1" x14ac:dyDescent="0.35">
      <c r="A19" s="12">
        <v>4</v>
      </c>
      <c r="B19" s="9"/>
      <c r="C19" s="9"/>
      <c r="D19" s="9"/>
    </row>
    <row r="20" spans="1:4" ht="21.75" customHeight="1" x14ac:dyDescent="0.35">
      <c r="A20" s="12">
        <v>8</v>
      </c>
      <c r="B20" s="9"/>
      <c r="C20" s="9"/>
      <c r="D20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H11"/>
  <sheetViews>
    <sheetView showGridLines="0" topLeftCell="A9" zoomScaleNormal="100" workbookViewId="0">
      <selection activeCell="A4" sqref="A4:H4"/>
    </sheetView>
  </sheetViews>
  <sheetFormatPr defaultColWidth="8.6328125" defaultRowHeight="14.5" x14ac:dyDescent="0.35"/>
  <cols>
    <col min="1" max="1" width="28" customWidth="1"/>
    <col min="2" max="2" width="10" customWidth="1"/>
    <col min="3" max="4" width="12" customWidth="1"/>
    <col min="5" max="6" width="10" customWidth="1"/>
    <col min="7" max="7" width="24" customWidth="1"/>
    <col min="8" max="8" width="36" customWidth="1"/>
  </cols>
  <sheetData>
    <row r="1" spans="1:8" ht="16.5" x14ac:dyDescent="0.35">
      <c r="A1" s="10" t="s">
        <v>28</v>
      </c>
    </row>
    <row r="2" spans="1:8" x14ac:dyDescent="0.35">
      <c r="A2" s="4" t="s">
        <v>123</v>
      </c>
    </row>
    <row r="4" spans="1:8" ht="31.5" customHeight="1" x14ac:dyDescent="0.35">
      <c r="A4" s="14" t="s">
        <v>124</v>
      </c>
      <c r="B4" s="14" t="s">
        <v>125</v>
      </c>
      <c r="C4" s="14" t="s">
        <v>126</v>
      </c>
      <c r="D4" s="14" t="s">
        <v>127</v>
      </c>
      <c r="E4" s="14" t="s">
        <v>128</v>
      </c>
      <c r="F4" s="14" t="s">
        <v>129</v>
      </c>
      <c r="G4" s="14" t="s">
        <v>130</v>
      </c>
      <c r="H4" s="14" t="s">
        <v>131</v>
      </c>
    </row>
    <row r="5" spans="1:8" ht="33.75" customHeight="1" x14ac:dyDescent="0.35">
      <c r="A5" s="11" t="s">
        <v>132</v>
      </c>
      <c r="B5" s="11">
        <v>48.2</v>
      </c>
      <c r="C5" s="11">
        <v>21.5</v>
      </c>
      <c r="D5" s="11" t="s">
        <v>133</v>
      </c>
      <c r="E5" s="11">
        <v>62.3</v>
      </c>
      <c r="F5" s="11">
        <v>0</v>
      </c>
      <c r="G5" s="11" t="s">
        <v>134</v>
      </c>
      <c r="H5" s="11" t="s">
        <v>135</v>
      </c>
    </row>
    <row r="6" spans="1:8" ht="33.75" customHeight="1" x14ac:dyDescent="0.35">
      <c r="A6" s="12" t="s">
        <v>136</v>
      </c>
      <c r="B6" s="9"/>
      <c r="C6" s="9"/>
      <c r="D6" s="9"/>
      <c r="E6" s="9"/>
      <c r="F6" s="9"/>
      <c r="G6" s="9"/>
      <c r="H6" s="9"/>
    </row>
    <row r="7" spans="1:8" ht="33.75" customHeight="1" x14ac:dyDescent="0.35">
      <c r="A7" s="12" t="s">
        <v>137</v>
      </c>
      <c r="B7" s="9"/>
      <c r="C7" s="9"/>
      <c r="D7" s="9"/>
      <c r="E7" s="9"/>
      <c r="F7" s="9"/>
      <c r="G7" s="9"/>
      <c r="H7" s="9"/>
    </row>
    <row r="8" spans="1:8" ht="33.75" customHeight="1" x14ac:dyDescent="0.35">
      <c r="A8" s="12" t="s">
        <v>138</v>
      </c>
      <c r="B8" s="9"/>
      <c r="C8" s="9"/>
      <c r="D8" s="9"/>
      <c r="E8" s="9"/>
      <c r="F8" s="9"/>
      <c r="G8" s="9"/>
      <c r="H8" s="9"/>
    </row>
    <row r="9" spans="1:8" ht="33.75" customHeight="1" x14ac:dyDescent="0.35">
      <c r="A9" s="12" t="s">
        <v>139</v>
      </c>
      <c r="B9" s="9"/>
      <c r="C9" s="9"/>
      <c r="D9" s="9"/>
      <c r="E9" s="9"/>
      <c r="F9" s="9"/>
      <c r="G9" s="9"/>
      <c r="H9" s="9"/>
    </row>
    <row r="10" spans="1:8" ht="33.75" customHeight="1" x14ac:dyDescent="0.35">
      <c r="A10" s="12" t="s">
        <v>140</v>
      </c>
      <c r="B10" s="9"/>
      <c r="C10" s="9"/>
      <c r="D10" s="9"/>
      <c r="E10" s="9"/>
      <c r="F10" s="9"/>
      <c r="G10" s="9"/>
      <c r="H10" s="9"/>
    </row>
    <row r="11" spans="1:8" ht="33.75" customHeight="1" x14ac:dyDescent="0.35">
      <c r="A11" s="12" t="s">
        <v>141</v>
      </c>
      <c r="B11" s="9"/>
      <c r="C11" s="9"/>
      <c r="D11" s="9"/>
      <c r="E11" s="9"/>
      <c r="F11" s="9"/>
      <c r="G11" s="9"/>
      <c r="H11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E14"/>
  <sheetViews>
    <sheetView showGridLines="0" zoomScaleNormal="100" workbookViewId="0">
      <selection activeCell="A4" sqref="A4:E4"/>
    </sheetView>
  </sheetViews>
  <sheetFormatPr defaultColWidth="8.6328125" defaultRowHeight="14.5" x14ac:dyDescent="0.35"/>
  <cols>
    <col min="1" max="1" width="16" customWidth="1"/>
    <col min="2" max="2" width="26" customWidth="1"/>
    <col min="3" max="3" width="10" customWidth="1"/>
    <col min="4" max="4" width="16" customWidth="1"/>
    <col min="5" max="5" width="48" customWidth="1"/>
  </cols>
  <sheetData>
    <row r="1" spans="1:5" ht="16.5" x14ac:dyDescent="0.35">
      <c r="A1" s="10" t="s">
        <v>142</v>
      </c>
    </row>
    <row r="2" spans="1:5" x14ac:dyDescent="0.35">
      <c r="A2" s="4" t="s">
        <v>143</v>
      </c>
    </row>
    <row r="4" spans="1:5" ht="31.5" customHeight="1" x14ac:dyDescent="0.35">
      <c r="A4" s="14" t="s">
        <v>144</v>
      </c>
      <c r="B4" s="14" t="s">
        <v>145</v>
      </c>
      <c r="C4" s="14" t="s">
        <v>113</v>
      </c>
      <c r="D4" s="14" t="s">
        <v>146</v>
      </c>
      <c r="E4" s="14" t="s">
        <v>114</v>
      </c>
    </row>
    <row r="5" spans="1:5" ht="30" customHeight="1" x14ac:dyDescent="0.35">
      <c r="A5" s="11" t="s">
        <v>147</v>
      </c>
      <c r="B5" s="11" t="s">
        <v>148</v>
      </c>
      <c r="C5" s="11">
        <v>2.35</v>
      </c>
      <c r="D5" s="11">
        <v>52.1</v>
      </c>
      <c r="E5" s="11" t="s">
        <v>149</v>
      </c>
    </row>
    <row r="6" spans="1:5" ht="30" customHeight="1" x14ac:dyDescent="0.35">
      <c r="A6" s="12" t="s">
        <v>150</v>
      </c>
      <c r="B6" s="9"/>
      <c r="C6" s="9"/>
      <c r="D6" s="9"/>
      <c r="E6" s="9"/>
    </row>
    <row r="7" spans="1:5" ht="30" customHeight="1" x14ac:dyDescent="0.35">
      <c r="A7" s="12" t="s">
        <v>151</v>
      </c>
      <c r="B7" s="9"/>
      <c r="C7" s="9"/>
      <c r="D7" s="9"/>
      <c r="E7" s="9"/>
    </row>
    <row r="8" spans="1:5" ht="30" customHeight="1" x14ac:dyDescent="0.35">
      <c r="A8" s="12" t="s">
        <v>152</v>
      </c>
      <c r="B8" s="9"/>
      <c r="C8" s="9"/>
      <c r="D8" s="9"/>
      <c r="E8" s="9"/>
    </row>
    <row r="9" spans="1:5" ht="30" customHeight="1" x14ac:dyDescent="0.35">
      <c r="A9" s="12" t="s">
        <v>153</v>
      </c>
      <c r="B9" s="9"/>
      <c r="C9" s="9"/>
      <c r="D9" s="9"/>
      <c r="E9" s="9"/>
    </row>
    <row r="10" spans="1:5" ht="30" customHeight="1" x14ac:dyDescent="0.35">
      <c r="A10" s="12" t="s">
        <v>154</v>
      </c>
      <c r="B10" s="9"/>
      <c r="C10" s="9"/>
      <c r="D10" s="9"/>
      <c r="E10" s="9"/>
    </row>
    <row r="11" spans="1:5" ht="30" customHeight="1" x14ac:dyDescent="0.35">
      <c r="A11" s="12" t="s">
        <v>155</v>
      </c>
      <c r="B11" s="9"/>
      <c r="C11" s="9"/>
      <c r="D11" s="9"/>
      <c r="E11" s="9"/>
    </row>
    <row r="12" spans="1:5" ht="30" customHeight="1" x14ac:dyDescent="0.35">
      <c r="A12" s="12" t="s">
        <v>156</v>
      </c>
      <c r="B12" s="9"/>
      <c r="C12" s="9"/>
      <c r="D12" s="9"/>
      <c r="E12" s="9"/>
    </row>
    <row r="13" spans="1:5" ht="30" customHeight="1" x14ac:dyDescent="0.35">
      <c r="A13" s="12" t="s">
        <v>157</v>
      </c>
      <c r="B13" s="9"/>
      <c r="C13" s="9"/>
      <c r="D13" s="9"/>
      <c r="E13" s="9"/>
    </row>
    <row r="14" spans="1:5" ht="30" customHeight="1" x14ac:dyDescent="0.35">
      <c r="A14" s="12" t="s">
        <v>158</v>
      </c>
      <c r="B14" s="9"/>
      <c r="C14" s="9"/>
      <c r="D14" s="9"/>
      <c r="E14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  <pageSetUpPr fitToPage="1"/>
  </sheetPr>
  <dimension ref="A1:D14"/>
  <sheetViews>
    <sheetView showGridLines="0" zoomScaleNormal="100" workbookViewId="0">
      <selection activeCell="A4" sqref="A4:D4"/>
    </sheetView>
  </sheetViews>
  <sheetFormatPr defaultColWidth="8.6328125" defaultRowHeight="14.5" x14ac:dyDescent="0.35"/>
  <cols>
    <col min="1" max="2" width="16" customWidth="1"/>
    <col min="3" max="3" width="12" customWidth="1"/>
    <col min="4" max="4" width="44" customWidth="1"/>
  </cols>
  <sheetData>
    <row r="1" spans="1:4" ht="16.5" x14ac:dyDescent="0.35">
      <c r="A1" s="10" t="s">
        <v>159</v>
      </c>
    </row>
    <row r="2" spans="1:4" x14ac:dyDescent="0.35">
      <c r="A2" s="4" t="s">
        <v>160</v>
      </c>
    </row>
    <row r="4" spans="1:4" ht="31.5" customHeight="1" x14ac:dyDescent="0.35">
      <c r="A4" s="14" t="s">
        <v>161</v>
      </c>
      <c r="B4" s="14" t="s">
        <v>162</v>
      </c>
      <c r="C4" s="14" t="s">
        <v>113</v>
      </c>
      <c r="D4" s="14" t="s">
        <v>163</v>
      </c>
    </row>
    <row r="5" spans="1:4" ht="21.75" customHeight="1" x14ac:dyDescent="0.35">
      <c r="A5" s="11" t="s">
        <v>164</v>
      </c>
      <c r="B5" s="11" t="s">
        <v>165</v>
      </c>
      <c r="C5" s="11">
        <v>2.35</v>
      </c>
      <c r="D5" s="11" t="s">
        <v>166</v>
      </c>
    </row>
    <row r="6" spans="1:4" ht="21.75" customHeight="1" x14ac:dyDescent="0.35">
      <c r="A6" s="12">
        <v>1</v>
      </c>
      <c r="B6" s="12">
        <v>4</v>
      </c>
      <c r="C6" s="9"/>
      <c r="D6" s="9"/>
    </row>
    <row r="7" spans="1:4" ht="21.75" customHeight="1" x14ac:dyDescent="0.35">
      <c r="A7" s="12">
        <v>1</v>
      </c>
      <c r="B7" s="12">
        <v>8</v>
      </c>
      <c r="C7" s="9"/>
      <c r="D7" s="9"/>
    </row>
    <row r="8" spans="1:4" ht="21.75" customHeight="1" x14ac:dyDescent="0.35">
      <c r="A8" s="12">
        <v>1</v>
      </c>
      <c r="B8" s="12">
        <v>16</v>
      </c>
      <c r="C8" s="9"/>
      <c r="D8" s="9"/>
    </row>
    <row r="9" spans="1:4" ht="21.75" customHeight="1" x14ac:dyDescent="0.35">
      <c r="A9" s="12">
        <v>2</v>
      </c>
      <c r="B9" s="12">
        <v>4</v>
      </c>
      <c r="C9" s="9"/>
      <c r="D9" s="9"/>
    </row>
    <row r="10" spans="1:4" ht="21.75" customHeight="1" x14ac:dyDescent="0.35">
      <c r="A10" s="12">
        <v>2</v>
      </c>
      <c r="B10" s="12">
        <v>8</v>
      </c>
      <c r="C10" s="9"/>
      <c r="D10" s="9"/>
    </row>
    <row r="11" spans="1:4" ht="21.75" customHeight="1" x14ac:dyDescent="0.35">
      <c r="A11" s="12">
        <v>2</v>
      </c>
      <c r="B11" s="12">
        <v>16</v>
      </c>
      <c r="C11" s="9"/>
      <c r="D11" s="9"/>
    </row>
    <row r="12" spans="1:4" ht="21.75" customHeight="1" x14ac:dyDescent="0.35">
      <c r="A12" s="12">
        <v>4</v>
      </c>
      <c r="B12" s="12">
        <v>4</v>
      </c>
      <c r="C12" s="9"/>
      <c r="D12" s="9"/>
    </row>
    <row r="13" spans="1:4" ht="21.75" customHeight="1" x14ac:dyDescent="0.35">
      <c r="A13" s="12">
        <v>4</v>
      </c>
      <c r="B13" s="12">
        <v>8</v>
      </c>
      <c r="C13" s="9"/>
      <c r="D13" s="9"/>
    </row>
    <row r="14" spans="1:4" ht="21.75" customHeight="1" x14ac:dyDescent="0.35">
      <c r="A14" s="12">
        <v>4</v>
      </c>
      <c r="B14" s="12">
        <v>16</v>
      </c>
      <c r="C14" s="9"/>
      <c r="D14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  <pageSetUpPr fitToPage="1"/>
  </sheetPr>
  <dimension ref="A1:G15"/>
  <sheetViews>
    <sheetView showGridLines="0" zoomScaleNormal="100" workbookViewId="0">
      <selection activeCell="A4" sqref="A4:G5"/>
    </sheetView>
  </sheetViews>
  <sheetFormatPr defaultColWidth="8.6328125" defaultRowHeight="14.5" x14ac:dyDescent="0.35"/>
  <cols>
    <col min="1" max="1" width="18" customWidth="1"/>
    <col min="2" max="3" width="13" customWidth="1"/>
    <col min="4" max="4" width="11" customWidth="1"/>
    <col min="5" max="6" width="13" customWidth="1"/>
    <col min="7" max="7" width="11" customWidth="1"/>
  </cols>
  <sheetData>
    <row r="1" spans="1:7" ht="16.5" x14ac:dyDescent="0.35">
      <c r="A1" s="10" t="s">
        <v>167</v>
      </c>
    </row>
    <row r="2" spans="1:7" x14ac:dyDescent="0.35">
      <c r="A2" s="4" t="s">
        <v>168</v>
      </c>
    </row>
    <row r="4" spans="1:7" ht="24" customHeight="1" x14ac:dyDescent="0.35">
      <c r="A4" s="15" t="s">
        <v>169</v>
      </c>
      <c r="B4" s="15" t="s">
        <v>170</v>
      </c>
      <c r="C4" s="15"/>
      <c r="D4" s="15"/>
      <c r="E4" s="15" t="s">
        <v>171</v>
      </c>
      <c r="F4" s="15"/>
      <c r="G4" s="15"/>
    </row>
    <row r="5" spans="1:7" ht="24" customHeight="1" x14ac:dyDescent="0.35">
      <c r="A5" s="15"/>
      <c r="B5" s="14" t="s">
        <v>172</v>
      </c>
      <c r="C5" s="14" t="s">
        <v>173</v>
      </c>
      <c r="D5" s="14" t="s">
        <v>113</v>
      </c>
      <c r="E5" s="14" t="s">
        <v>172</v>
      </c>
      <c r="F5" s="14" t="s">
        <v>173</v>
      </c>
      <c r="G5" s="14" t="s">
        <v>113</v>
      </c>
    </row>
    <row r="6" spans="1:7" x14ac:dyDescent="0.35">
      <c r="A6" s="11" t="s">
        <v>174</v>
      </c>
      <c r="B6" s="11">
        <v>31.2</v>
      </c>
      <c r="C6" s="11">
        <v>0.45</v>
      </c>
      <c r="D6" s="11">
        <v>3.1</v>
      </c>
      <c r="E6" s="11">
        <v>34.799999999999997</v>
      </c>
      <c r="F6" s="11">
        <v>0.45</v>
      </c>
      <c r="G6" s="11">
        <v>3.35</v>
      </c>
    </row>
    <row r="7" spans="1:7" x14ac:dyDescent="0.35">
      <c r="A7" s="12" t="s">
        <v>175</v>
      </c>
      <c r="B7" s="9"/>
      <c r="C7" s="9"/>
      <c r="D7" s="9"/>
      <c r="E7" s="9"/>
      <c r="F7" s="9"/>
      <c r="G7" s="9"/>
    </row>
    <row r="8" spans="1:7" x14ac:dyDescent="0.35">
      <c r="A8" s="12" t="s">
        <v>176</v>
      </c>
      <c r="B8" s="9"/>
      <c r="C8" s="9"/>
      <c r="D8" s="9"/>
      <c r="E8" s="9"/>
      <c r="F8" s="9"/>
      <c r="G8" s="9"/>
    </row>
    <row r="9" spans="1:7" x14ac:dyDescent="0.35">
      <c r="A9" s="12" t="s">
        <v>177</v>
      </c>
      <c r="B9" s="9"/>
      <c r="C9" s="9"/>
      <c r="D9" s="9"/>
      <c r="E9" s="9"/>
      <c r="F9" s="9"/>
      <c r="G9" s="9"/>
    </row>
    <row r="10" spans="1:7" x14ac:dyDescent="0.35">
      <c r="A10" s="12" t="s">
        <v>178</v>
      </c>
      <c r="B10" s="9"/>
      <c r="C10" s="9"/>
      <c r="D10" s="9"/>
      <c r="E10" s="9"/>
      <c r="F10" s="9"/>
      <c r="G10" s="9"/>
    </row>
    <row r="11" spans="1:7" x14ac:dyDescent="0.35">
      <c r="A11" s="12" t="s">
        <v>179</v>
      </c>
      <c r="B11" s="9"/>
      <c r="C11" s="9"/>
      <c r="D11" s="9"/>
      <c r="E11" s="9"/>
      <c r="F11" s="9"/>
      <c r="G11" s="9"/>
    </row>
    <row r="12" spans="1:7" x14ac:dyDescent="0.35">
      <c r="A12" s="12" t="s">
        <v>180</v>
      </c>
      <c r="B12" s="9"/>
      <c r="C12" s="9"/>
      <c r="D12" s="9"/>
      <c r="E12" s="9"/>
      <c r="F12" s="9"/>
      <c r="G12" s="9"/>
    </row>
    <row r="13" spans="1:7" x14ac:dyDescent="0.35">
      <c r="A13" s="12" t="s">
        <v>181</v>
      </c>
      <c r="B13" s="9"/>
      <c r="C13" s="9"/>
      <c r="D13" s="9"/>
      <c r="E13" s="9"/>
      <c r="F13" s="9"/>
      <c r="G13" s="9"/>
    </row>
    <row r="15" spans="1:7" x14ac:dyDescent="0.35">
      <c r="A15" s="4" t="s">
        <v>182</v>
      </c>
    </row>
  </sheetData>
  <mergeCells count="3">
    <mergeCell ref="A4:A5"/>
    <mergeCell ref="B4:D4"/>
    <mergeCell ref="E4:G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  <pageSetUpPr fitToPage="1"/>
  </sheetPr>
  <dimension ref="A1:D10"/>
  <sheetViews>
    <sheetView showGridLines="0" zoomScaleNormal="100" workbookViewId="0">
      <selection activeCell="A4" sqref="A4:D4"/>
    </sheetView>
  </sheetViews>
  <sheetFormatPr defaultColWidth="8.6328125" defaultRowHeight="14.5" x14ac:dyDescent="0.35"/>
  <cols>
    <col min="1" max="1" width="16" customWidth="1"/>
    <col min="2" max="2" width="14" customWidth="1"/>
    <col min="3" max="3" width="12" customWidth="1"/>
    <col min="4" max="4" width="50" customWidth="1"/>
  </cols>
  <sheetData>
    <row r="1" spans="1:4" ht="16.5" x14ac:dyDescent="0.35">
      <c r="A1" s="10" t="s">
        <v>183</v>
      </c>
    </row>
    <row r="2" spans="1:4" x14ac:dyDescent="0.35">
      <c r="A2" s="4" t="s">
        <v>184</v>
      </c>
    </row>
    <row r="4" spans="1:4" ht="31.5" customHeight="1" x14ac:dyDescent="0.35">
      <c r="A4" s="14" t="s">
        <v>185</v>
      </c>
      <c r="B4" s="14" t="s">
        <v>186</v>
      </c>
      <c r="C4" s="14" t="s">
        <v>187</v>
      </c>
      <c r="D4" s="14" t="s">
        <v>188</v>
      </c>
    </row>
    <row r="5" spans="1:4" ht="25.5" customHeight="1" x14ac:dyDescent="0.35">
      <c r="A5" s="11" t="s">
        <v>189</v>
      </c>
      <c r="B5" s="11">
        <v>38.4</v>
      </c>
      <c r="C5" s="11">
        <v>2.9</v>
      </c>
      <c r="D5" s="11" t="s">
        <v>190</v>
      </c>
    </row>
    <row r="6" spans="1:4" ht="25.5" customHeight="1" x14ac:dyDescent="0.35">
      <c r="A6" s="12">
        <v>1</v>
      </c>
      <c r="B6" s="9"/>
      <c r="C6" s="9"/>
      <c r="D6" s="9"/>
    </row>
    <row r="7" spans="1:4" ht="25.5" customHeight="1" x14ac:dyDescent="0.35">
      <c r="A7" s="12">
        <v>3</v>
      </c>
      <c r="B7" s="9"/>
      <c r="C7" s="9"/>
      <c r="D7" s="9"/>
    </row>
    <row r="8" spans="1:4" ht="25.5" customHeight="1" x14ac:dyDescent="0.35">
      <c r="A8" s="12">
        <v>5</v>
      </c>
      <c r="B8" s="9"/>
      <c r="C8" s="9"/>
      <c r="D8" s="9"/>
    </row>
    <row r="9" spans="1:4" ht="25.5" customHeight="1" x14ac:dyDescent="0.35">
      <c r="A9" s="12">
        <v>9</v>
      </c>
      <c r="B9" s="9"/>
      <c r="C9" s="9"/>
      <c r="D9" s="9"/>
    </row>
    <row r="10" spans="1:4" ht="25.5" customHeight="1" x14ac:dyDescent="0.35">
      <c r="A10" s="12">
        <v>15</v>
      </c>
      <c r="B10" s="9"/>
      <c r="C10" s="9"/>
      <c r="D10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  <pageSetUpPr fitToPage="1"/>
  </sheetPr>
  <dimension ref="A1:D19"/>
  <sheetViews>
    <sheetView showGridLines="0" zoomScaleNormal="100" workbookViewId="0">
      <selection activeCell="B3" sqref="B3:D3"/>
    </sheetView>
  </sheetViews>
  <sheetFormatPr defaultColWidth="8.6328125" defaultRowHeight="14.5" x14ac:dyDescent="0.35"/>
  <cols>
    <col min="1" max="1" width="28" customWidth="1"/>
    <col min="2" max="3" width="18" customWidth="1"/>
    <col min="4" max="4" width="16" customWidth="1"/>
  </cols>
  <sheetData>
    <row r="1" spans="1:4" ht="16.5" x14ac:dyDescent="0.35">
      <c r="A1" s="10" t="s">
        <v>43</v>
      </c>
    </row>
    <row r="2" spans="1:4" x14ac:dyDescent="0.35">
      <c r="A2" s="4" t="s">
        <v>191</v>
      </c>
    </row>
    <row r="3" spans="1:4" x14ac:dyDescent="0.35">
      <c r="A3" s="5" t="s">
        <v>192</v>
      </c>
      <c r="B3" s="16"/>
      <c r="C3" s="16"/>
      <c r="D3" s="16"/>
    </row>
    <row r="5" spans="1:4" ht="31.5" customHeight="1" x14ac:dyDescent="0.35">
      <c r="A5" s="14" t="s">
        <v>124</v>
      </c>
      <c r="B5" s="14" t="s">
        <v>193</v>
      </c>
      <c r="C5" s="14" t="s">
        <v>194</v>
      </c>
      <c r="D5" s="14" t="s">
        <v>195</v>
      </c>
    </row>
    <row r="6" spans="1:4" x14ac:dyDescent="0.35">
      <c r="A6" s="11" t="s">
        <v>196</v>
      </c>
      <c r="B6" s="11">
        <v>33.1</v>
      </c>
      <c r="C6" s="11">
        <v>35.4</v>
      </c>
      <c r="D6" s="11">
        <f>C6-B6</f>
        <v>2.2999999999999972</v>
      </c>
    </row>
    <row r="7" spans="1:4" x14ac:dyDescent="0.35">
      <c r="A7" s="12" t="s">
        <v>197</v>
      </c>
      <c r="B7" s="9"/>
      <c r="C7" s="9"/>
      <c r="D7" s="9" t="str">
        <f t="shared" ref="D7:D18" si="0">IF(OR(B7="",C7=""),"",C7-B7)</f>
        <v/>
      </c>
    </row>
    <row r="8" spans="1:4" x14ac:dyDescent="0.35">
      <c r="A8" s="12" t="s">
        <v>198</v>
      </c>
      <c r="B8" s="9"/>
      <c r="C8" s="9"/>
      <c r="D8" s="9" t="str">
        <f t="shared" si="0"/>
        <v/>
      </c>
    </row>
    <row r="9" spans="1:4" x14ac:dyDescent="0.35">
      <c r="A9" s="12" t="s">
        <v>199</v>
      </c>
      <c r="B9" s="9"/>
      <c r="C9" s="9"/>
      <c r="D9" s="9" t="str">
        <f t="shared" si="0"/>
        <v/>
      </c>
    </row>
    <row r="10" spans="1:4" x14ac:dyDescent="0.35">
      <c r="A10" s="12" t="s">
        <v>200</v>
      </c>
      <c r="B10" s="9"/>
      <c r="C10" s="9"/>
      <c r="D10" s="9" t="str">
        <f t="shared" si="0"/>
        <v/>
      </c>
    </row>
    <row r="11" spans="1:4" x14ac:dyDescent="0.35">
      <c r="A11" s="12" t="s">
        <v>201</v>
      </c>
      <c r="B11" s="9"/>
      <c r="C11" s="9"/>
      <c r="D11" s="9" t="str">
        <f t="shared" si="0"/>
        <v/>
      </c>
    </row>
    <row r="12" spans="1:4" x14ac:dyDescent="0.35">
      <c r="A12" s="12" t="s">
        <v>202</v>
      </c>
      <c r="B12" s="9"/>
      <c r="C12" s="9"/>
      <c r="D12" s="9" t="str">
        <f t="shared" si="0"/>
        <v/>
      </c>
    </row>
    <row r="13" spans="1:4" x14ac:dyDescent="0.35">
      <c r="A13" s="12" t="s">
        <v>203</v>
      </c>
      <c r="B13" s="9"/>
      <c r="C13" s="9"/>
      <c r="D13" s="9" t="str">
        <f t="shared" si="0"/>
        <v/>
      </c>
    </row>
    <row r="14" spans="1:4" x14ac:dyDescent="0.35">
      <c r="A14" s="12" t="s">
        <v>204</v>
      </c>
      <c r="B14" s="9"/>
      <c r="C14" s="9"/>
      <c r="D14" s="9" t="str">
        <f t="shared" si="0"/>
        <v/>
      </c>
    </row>
    <row r="15" spans="1:4" x14ac:dyDescent="0.35">
      <c r="A15" s="12" t="s">
        <v>205</v>
      </c>
      <c r="B15" s="9"/>
      <c r="C15" s="9"/>
      <c r="D15" s="9" t="str">
        <f t="shared" si="0"/>
        <v/>
      </c>
    </row>
    <row r="16" spans="1:4" x14ac:dyDescent="0.35">
      <c r="A16" s="12" t="s">
        <v>206</v>
      </c>
      <c r="B16" s="9"/>
      <c r="C16" s="9"/>
      <c r="D16" s="9" t="str">
        <f t="shared" si="0"/>
        <v/>
      </c>
    </row>
    <row r="17" spans="1:4" x14ac:dyDescent="0.35">
      <c r="A17" s="12" t="s">
        <v>207</v>
      </c>
      <c r="B17" s="9"/>
      <c r="C17" s="9"/>
      <c r="D17" s="9" t="str">
        <f t="shared" si="0"/>
        <v/>
      </c>
    </row>
    <row r="18" spans="1:4" x14ac:dyDescent="0.35">
      <c r="A18" s="12" t="s">
        <v>208</v>
      </c>
      <c r="B18" s="9"/>
      <c r="C18" s="9"/>
      <c r="D18" s="9" t="str">
        <f t="shared" si="0"/>
        <v/>
      </c>
    </row>
    <row r="19" spans="1:4" x14ac:dyDescent="0.35">
      <c r="A19" s="12" t="s">
        <v>125</v>
      </c>
      <c r="B19" s="9" t="str">
        <f>IFERROR(AVERAGE(B7:B18),"")</f>
        <v/>
      </c>
      <c r="C19" s="9" t="str">
        <f>IFERROR(AVERAGE(C7:C18),"")</f>
        <v/>
      </c>
      <c r="D19" s="9" t="str">
        <f>IFERROR(AVERAGE(D7:D18),"")</f>
        <v/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  <pageSetUpPr fitToPage="1"/>
  </sheetPr>
  <dimension ref="A1:E12"/>
  <sheetViews>
    <sheetView showGridLines="0" zoomScaleNormal="100" workbookViewId="0">
      <selection activeCell="A5" sqref="A5:E5"/>
    </sheetView>
  </sheetViews>
  <sheetFormatPr defaultColWidth="8.6328125" defaultRowHeight="14.5" x14ac:dyDescent="0.35"/>
  <cols>
    <col min="1" max="1" width="20" customWidth="1"/>
    <col min="2" max="3" width="13" customWidth="1"/>
    <col min="4" max="4" width="14" customWidth="1"/>
    <col min="5" max="5" width="48" customWidth="1"/>
  </cols>
  <sheetData>
    <row r="1" spans="1:5" ht="16.5" x14ac:dyDescent="0.35">
      <c r="A1" s="10" t="s">
        <v>209</v>
      </c>
    </row>
    <row r="2" spans="1:5" x14ac:dyDescent="0.35">
      <c r="A2" s="4" t="s">
        <v>210</v>
      </c>
    </row>
    <row r="3" spans="1:5" x14ac:dyDescent="0.35">
      <c r="A3" s="5" t="s">
        <v>211</v>
      </c>
      <c r="B3" s="13"/>
    </row>
    <row r="5" spans="1:5" ht="31.5" customHeight="1" x14ac:dyDescent="0.35">
      <c r="A5" s="14" t="s">
        <v>90</v>
      </c>
      <c r="B5" s="14" t="s">
        <v>212</v>
      </c>
      <c r="C5" s="14" t="s">
        <v>213</v>
      </c>
      <c r="D5" s="14" t="s">
        <v>214</v>
      </c>
      <c r="E5" s="14" t="s">
        <v>54</v>
      </c>
    </row>
    <row r="6" spans="1:5" ht="25.5" customHeight="1" x14ac:dyDescent="0.35">
      <c r="A6" s="11" t="s">
        <v>215</v>
      </c>
      <c r="B6" s="11">
        <v>0.8</v>
      </c>
      <c r="C6" s="11">
        <v>2.1</v>
      </c>
      <c r="D6" s="11">
        <f t="shared" ref="D6:D11" si="0">IF(OR(B6="",C6=""),"",IFERROR((C6-B6)/B6,""))</f>
        <v>1.625</v>
      </c>
      <c r="E6" s="11" t="s">
        <v>216</v>
      </c>
    </row>
    <row r="7" spans="1:5" ht="25.5" customHeight="1" x14ac:dyDescent="0.35">
      <c r="A7" s="12" t="s">
        <v>99</v>
      </c>
      <c r="B7" s="9"/>
      <c r="C7" s="9"/>
      <c r="D7" s="9" t="str">
        <f t="shared" si="0"/>
        <v/>
      </c>
      <c r="E7" s="9"/>
    </row>
    <row r="8" spans="1:5" ht="25.5" customHeight="1" x14ac:dyDescent="0.35">
      <c r="A8" s="12" t="s">
        <v>100</v>
      </c>
      <c r="B8" s="9"/>
      <c r="C8" s="9"/>
      <c r="D8" s="9" t="str">
        <f t="shared" si="0"/>
        <v/>
      </c>
      <c r="E8" s="9"/>
    </row>
    <row r="9" spans="1:5" ht="25.5" customHeight="1" x14ac:dyDescent="0.35">
      <c r="A9" s="12" t="s">
        <v>101</v>
      </c>
      <c r="B9" s="9"/>
      <c r="C9" s="9"/>
      <c r="D9" s="9" t="str">
        <f t="shared" si="0"/>
        <v/>
      </c>
      <c r="E9" s="9"/>
    </row>
    <row r="10" spans="1:5" ht="25.5" customHeight="1" x14ac:dyDescent="0.35">
      <c r="A10" s="12" t="s">
        <v>102</v>
      </c>
      <c r="B10" s="9"/>
      <c r="C10" s="9"/>
      <c r="D10" s="9" t="str">
        <f t="shared" si="0"/>
        <v/>
      </c>
      <c r="E10" s="9"/>
    </row>
    <row r="11" spans="1:5" ht="25.5" customHeight="1" x14ac:dyDescent="0.35">
      <c r="A11" s="12" t="s">
        <v>103</v>
      </c>
      <c r="B11" s="9"/>
      <c r="C11" s="9"/>
      <c r="D11" s="9" t="str">
        <f t="shared" si="0"/>
        <v/>
      </c>
      <c r="E11" s="9"/>
    </row>
    <row r="12" spans="1:5" x14ac:dyDescent="0.35">
      <c r="A12" s="12" t="s">
        <v>104</v>
      </c>
      <c r="B12" s="9" t="str">
        <f>IFERROR(AVERAGE(B7:B11),"")</f>
        <v/>
      </c>
      <c r="C12" s="9" t="str">
        <f>IFERROR(AVERAGE(C7:C11),"")</f>
        <v/>
      </c>
      <c r="D12" s="9" t="str">
        <f>IFERROR((C12-B12)/B12,"")</f>
        <v/>
      </c>
      <c r="E12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  <pageSetUpPr fitToPage="1"/>
  </sheetPr>
  <dimension ref="A1:F10"/>
  <sheetViews>
    <sheetView showGridLines="0" zoomScaleNormal="100" workbookViewId="0">
      <selection activeCell="A4" sqref="A4:F4"/>
    </sheetView>
  </sheetViews>
  <sheetFormatPr defaultColWidth="8.6328125" defaultRowHeight="14.5" x14ac:dyDescent="0.35"/>
  <cols>
    <col min="1" max="1" width="20" customWidth="1"/>
    <col min="2" max="3" width="18" customWidth="1"/>
    <col min="4" max="4" width="14" customWidth="1"/>
    <col min="5" max="5" width="16" customWidth="1"/>
    <col min="6" max="6" width="44" customWidth="1"/>
  </cols>
  <sheetData>
    <row r="1" spans="1:6" ht="16.5" x14ac:dyDescent="0.35">
      <c r="A1" s="10" t="s">
        <v>217</v>
      </c>
    </row>
    <row r="2" spans="1:6" x14ac:dyDescent="0.35">
      <c r="A2" s="4" t="s">
        <v>218</v>
      </c>
    </row>
    <row r="4" spans="1:6" ht="31.5" customHeight="1" x14ac:dyDescent="0.35">
      <c r="A4" s="14" t="s">
        <v>90</v>
      </c>
      <c r="B4" s="14" t="s">
        <v>219</v>
      </c>
      <c r="C4" s="14" t="s">
        <v>220</v>
      </c>
      <c r="D4" s="14" t="s">
        <v>214</v>
      </c>
      <c r="E4" s="14" t="s">
        <v>221</v>
      </c>
      <c r="F4" s="14" t="s">
        <v>54</v>
      </c>
    </row>
    <row r="5" spans="1:6" ht="27.75" customHeight="1" x14ac:dyDescent="0.35">
      <c r="A5" s="11" t="s">
        <v>222</v>
      </c>
      <c r="B5" s="11">
        <v>6.2</v>
      </c>
      <c r="C5" s="11">
        <v>7.1</v>
      </c>
      <c r="D5" s="11">
        <f t="shared" ref="D5:D10" si="0">IF(OR(B5="",C5=""),"",IFERROR((C5-B5)/B5,""))</f>
        <v>0.14516129032258054</v>
      </c>
      <c r="E5" s="11" t="s">
        <v>223</v>
      </c>
      <c r="F5" s="11" t="s">
        <v>224</v>
      </c>
    </row>
    <row r="6" spans="1:6" ht="27.75" customHeight="1" x14ac:dyDescent="0.35">
      <c r="A6" s="12" t="s">
        <v>99</v>
      </c>
      <c r="B6" s="9"/>
      <c r="C6" s="9"/>
      <c r="D6" s="9" t="str">
        <f t="shared" si="0"/>
        <v/>
      </c>
      <c r="E6" s="9"/>
      <c r="F6" s="9"/>
    </row>
    <row r="7" spans="1:6" ht="27.75" customHeight="1" x14ac:dyDescent="0.35">
      <c r="A7" s="12" t="s">
        <v>100</v>
      </c>
      <c r="B7" s="9"/>
      <c r="C7" s="9"/>
      <c r="D7" s="9" t="str">
        <f t="shared" si="0"/>
        <v/>
      </c>
      <c r="E7" s="9"/>
      <c r="F7" s="9"/>
    </row>
    <row r="8" spans="1:6" ht="27.75" customHeight="1" x14ac:dyDescent="0.35">
      <c r="A8" s="12" t="s">
        <v>101</v>
      </c>
      <c r="B8" s="9"/>
      <c r="C8" s="9"/>
      <c r="D8" s="9" t="str">
        <f t="shared" si="0"/>
        <v/>
      </c>
      <c r="E8" s="9"/>
      <c r="F8" s="9"/>
    </row>
    <row r="9" spans="1:6" ht="27.75" customHeight="1" x14ac:dyDescent="0.35">
      <c r="A9" s="12" t="s">
        <v>102</v>
      </c>
      <c r="B9" s="9"/>
      <c r="C9" s="9"/>
      <c r="D9" s="9" t="str">
        <f t="shared" si="0"/>
        <v/>
      </c>
      <c r="E9" s="9"/>
      <c r="F9" s="9"/>
    </row>
    <row r="10" spans="1:6" ht="27.75" customHeight="1" x14ac:dyDescent="0.35">
      <c r="A10" s="12" t="s">
        <v>103</v>
      </c>
      <c r="B10" s="9"/>
      <c r="C10" s="9"/>
      <c r="D10" s="9" t="str">
        <f t="shared" si="0"/>
        <v/>
      </c>
      <c r="E10" s="9"/>
      <c r="F10" s="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72C4"/>
    <pageSetUpPr fitToPage="1"/>
  </sheetPr>
  <dimension ref="A1:D10"/>
  <sheetViews>
    <sheetView showGridLines="0" tabSelected="1" zoomScaleNormal="100" workbookViewId="0">
      <selection activeCell="D6" sqref="D6"/>
    </sheetView>
  </sheetViews>
  <sheetFormatPr defaultColWidth="8.6328125" defaultRowHeight="14.5" x14ac:dyDescent="0.35"/>
  <cols>
    <col min="1" max="1" width="22" customWidth="1"/>
    <col min="2" max="2" width="26" customWidth="1"/>
    <col min="3" max="3" width="52" customWidth="1"/>
    <col min="4" max="4" width="40" customWidth="1"/>
  </cols>
  <sheetData>
    <row r="1" spans="1:4" ht="16.5" x14ac:dyDescent="0.35">
      <c r="A1" s="10" t="s">
        <v>52</v>
      </c>
    </row>
    <row r="2" spans="1:4" x14ac:dyDescent="0.35">
      <c r="A2" s="4" t="s">
        <v>225</v>
      </c>
    </row>
    <row r="4" spans="1:4" ht="31.5" customHeight="1" x14ac:dyDescent="0.35">
      <c r="A4" s="14" t="s">
        <v>226</v>
      </c>
      <c r="B4" s="14" t="s">
        <v>227</v>
      </c>
      <c r="C4" s="14" t="s">
        <v>228</v>
      </c>
      <c r="D4" s="14" t="s">
        <v>229</v>
      </c>
    </row>
    <row r="5" spans="1:4" ht="48" customHeight="1" x14ac:dyDescent="0.35">
      <c r="A5" s="11" t="s">
        <v>230</v>
      </c>
      <c r="B5" s="11" t="s">
        <v>231</v>
      </c>
      <c r="C5" s="11" t="s">
        <v>232</v>
      </c>
      <c r="D5" s="11" t="s">
        <v>233</v>
      </c>
    </row>
    <row r="6" spans="1:4" ht="48" customHeight="1" x14ac:dyDescent="0.35">
      <c r="A6" s="12" t="s">
        <v>234</v>
      </c>
      <c r="B6" s="9"/>
      <c r="C6" s="9"/>
      <c r="D6" s="9"/>
    </row>
    <row r="7" spans="1:4" ht="48" customHeight="1" x14ac:dyDescent="0.35">
      <c r="A7" s="12" t="s">
        <v>235</v>
      </c>
      <c r="B7" s="9"/>
      <c r="C7" s="9"/>
      <c r="D7" s="9"/>
    </row>
    <row r="8" spans="1:4" ht="48" customHeight="1" x14ac:dyDescent="0.35">
      <c r="A8" s="12" t="s">
        <v>236</v>
      </c>
      <c r="B8" s="9"/>
      <c r="C8" s="9"/>
      <c r="D8" s="9"/>
    </row>
    <row r="9" spans="1:4" ht="48" customHeight="1" x14ac:dyDescent="0.35">
      <c r="A9" s="12" t="s">
        <v>237</v>
      </c>
      <c r="B9" s="9"/>
      <c r="C9" s="9"/>
      <c r="D9" s="9"/>
    </row>
    <row r="10" spans="1:4" ht="48" customHeight="1" x14ac:dyDescent="0.35">
      <c r="A10" s="12" t="s">
        <v>238</v>
      </c>
      <c r="B10" s="9"/>
      <c r="C10" s="9"/>
      <c r="D10" s="9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Petunjuk</vt:lpstr>
      <vt:lpstr>T6 Risiko</vt:lpstr>
      <vt:lpstr>Akuisisi</vt:lpstr>
      <vt:lpstr>T8 KB Kanal</vt:lpstr>
      <vt:lpstr>2.4 Sampling-Kuantisasi</vt:lpstr>
      <vt:lpstr>T9 Diagnosis</vt:lpstr>
      <vt:lpstr>T10 Perbaikan</vt:lpstr>
      <vt:lpstr>3.4 CLAHE</vt:lpstr>
      <vt:lpstr>T11 Penapis</vt:lpstr>
      <vt:lpstr>4.4 Kernel Median</vt:lpstr>
      <vt:lpstr>4.6 PSNR Normal</vt:lpstr>
      <vt:lpstr>T12 Evaluasi</vt:lpstr>
      <vt:lpstr>5.3 Bercak Palsu</vt:lpstr>
      <vt:lpstr>T13 Justifikasi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2026-10-30T10:32:51Z</dcterms:created>
  <dcterms:modified xsi:type="dcterms:W3CDTF">2026-10-30T10:51:24Z</dcterms:modified>
  <dc:language>en-US</dc:language>
</cp:coreProperties>
</file>